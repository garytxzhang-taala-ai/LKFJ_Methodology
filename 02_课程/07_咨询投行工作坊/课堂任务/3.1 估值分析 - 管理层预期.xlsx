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tianxing/Downloads/"/>
    </mc:Choice>
  </mc:AlternateContent>
  <xr:revisionPtr revIDLastSave="0" documentId="8_{B6B3A1F4-3A49-3B41-B888-D4C3AADE8F60}" xr6:coauthVersionLast="47" xr6:coauthVersionMax="47" xr10:uidLastSave="{00000000-0000-0000-0000-000000000000}"/>
  <bookViews>
    <workbookView xWindow="0" yWindow="680" windowWidth="30240" windowHeight="18960" xr2:uid="{79745580-3DCE-8D4E-92E1-44DC068B8F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3" i="1"/>
  <c r="C10" i="1"/>
  <c r="D10" i="1" s="1"/>
  <c r="E10" i="1" s="1"/>
  <c r="F10" i="1" s="1"/>
  <c r="C8" i="1"/>
  <c r="D8" i="1" s="1"/>
  <c r="C6" i="1"/>
  <c r="D6" i="1" s="1"/>
  <c r="E6" i="1" s="1"/>
  <c r="F6" i="1" s="1"/>
  <c r="C4" i="1"/>
  <c r="C13" i="1" s="1"/>
  <c r="D15" i="1" l="1"/>
  <c r="E8" i="1"/>
  <c r="C15" i="1"/>
  <c r="D4" i="1"/>
  <c r="D13" i="1" l="1"/>
  <c r="E4" i="1"/>
  <c r="E15" i="1"/>
  <c r="F8" i="1"/>
  <c r="F15" i="1" s="1"/>
  <c r="E13" i="1" l="1"/>
  <c r="F4" i="1"/>
  <c r="F13" i="1" s="1"/>
</calcChain>
</file>

<file path=xl/sharedStrings.xml><?xml version="1.0" encoding="utf-8"?>
<sst xmlns="http://schemas.openxmlformats.org/spreadsheetml/2006/main" count="27" uniqueCount="24">
  <si>
    <t>预测数据</t>
  </si>
  <si>
    <t>2026年</t>
  </si>
  <si>
    <t>2027年</t>
  </si>
  <si>
    <t>2028年</t>
  </si>
  <si>
    <t>2029年</t>
  </si>
  <si>
    <t>2030年</t>
  </si>
  <si>
    <t>两个业务板块</t>
  </si>
  <si>
    <t>业务 1 价格（元）</t>
  </si>
  <si>
    <t>增长率</t>
  </si>
  <si>
    <t>业务 1 数量（万）</t>
  </si>
  <si>
    <t>业务 2 价格（元）</t>
  </si>
  <si>
    <t>业务 2 数量（万）</t>
  </si>
  <si>
    <t>成本</t>
  </si>
  <si>
    <t>业务 1 成本</t>
  </si>
  <si>
    <t>毛利率</t>
  </si>
  <si>
    <t>业务 2 成本</t>
  </si>
  <si>
    <t>销售费用</t>
  </si>
  <si>
    <t>管理费用</t>
  </si>
  <si>
    <t>研发费用</t>
  </si>
  <si>
    <t>折旧及摊销</t>
  </si>
  <si>
    <t>资本性支出</t>
  </si>
  <si>
    <t>所得税费率</t>
  </si>
  <si>
    <t>折现率</t>
  </si>
  <si>
    <t>永续期增长率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</si>
</sst>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C09]dd\-mmmm\-yyyy;@"/>
    <numFmt numFmtId="165" formatCode="_ * #,##0.00_ ;_ * \-#,##0.00_ ;_ * &quot;-&quot;??_ ;_ @_ "/>
    <numFmt numFmtId="166" formatCode="_ * #,##0_ ;_ * \-#,##0_ ;_ * &quot;-&quot;??_ ;_ @_ "/>
    <numFmt numFmtId="167" formatCode="_ * #,##0.0_ ;_ * \-#,##0.0_ ;_ * &quot;-&quot;??_ ;_ @_ "/>
    <numFmt numFmtId="168" formatCode="0.0%"/>
  </numFmts>
  <fonts count="1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 val="singleAccounting"/>
      <sz val="9"/>
      <color theme="0"/>
      <name val="Arial"/>
      <family val="2"/>
    </font>
    <font>
      <b/>
      <u val="singleAccounting"/>
      <sz val="9"/>
      <color theme="0"/>
      <name val="华文细黑"/>
      <family val="3"/>
      <charset val="134"/>
    </font>
    <font>
      <sz val="12"/>
      <name val="宋体"/>
      <family val="3"/>
      <charset val="134"/>
    </font>
    <font>
      <b/>
      <sz val="9"/>
      <color theme="0"/>
      <name val="Calibri"/>
      <family val="2"/>
    </font>
    <font>
      <b/>
      <sz val="9"/>
      <color theme="0"/>
      <name val="华文细黑"/>
      <family val="3"/>
      <charset val="134"/>
    </font>
    <font>
      <b/>
      <sz val="9"/>
      <name val="华文细黑"/>
    </font>
    <font>
      <sz val="8"/>
      <color theme="1"/>
      <name val="Verdana"/>
      <family val="2"/>
    </font>
    <font>
      <sz val="9"/>
      <color theme="1"/>
      <name val="Verdana"/>
      <family val="2"/>
    </font>
    <font>
      <sz val="9"/>
      <name val="华文细黑"/>
      <family val="3"/>
      <charset val="134"/>
    </font>
    <font>
      <sz val="9"/>
      <name val="Calibri"/>
      <family val="2"/>
    </font>
    <font>
      <b/>
      <sz val="9"/>
      <color rgb="FF00B0F0"/>
      <name val="Verdana"/>
      <family val="2"/>
    </font>
    <font>
      <b/>
      <sz val="9"/>
      <color theme="1"/>
      <name val="Verdana"/>
      <family val="2"/>
    </font>
    <font>
      <i/>
      <sz val="9"/>
      <color rgb="FF00B0F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Fill="0">
      <alignment horizontal="centerContinuous" vertical="center"/>
    </xf>
    <xf numFmtId="165" fontId="4" fillId="0" borderId="0" applyFont="0" applyFill="0" applyBorder="0" applyAlignment="0" applyProtection="0"/>
    <xf numFmtId="164" fontId="8" fillId="0" borderId="0">
      <alignment vertical="center"/>
      <protection locked="0"/>
    </xf>
  </cellStyleXfs>
  <cellXfs count="14">
    <xf numFmtId="0" fontId="0" fillId="0" borderId="0" xfId="0"/>
    <xf numFmtId="164" fontId="3" fillId="2" borderId="0" xfId="2" applyFont="1" applyFill="1" applyAlignment="1">
      <alignment horizontal="center" vertical="center"/>
    </xf>
    <xf numFmtId="166" fontId="5" fillId="2" borderId="0" xfId="3" applyNumberFormat="1" applyFont="1" applyFill="1" applyBorder="1" applyAlignment="1">
      <alignment horizontal="center" vertical="center" shrinkToFit="1"/>
    </xf>
    <xf numFmtId="166" fontId="6" fillId="2" borderId="0" xfId="3" applyNumberFormat="1" applyFont="1" applyFill="1" applyBorder="1" applyAlignment="1">
      <alignment horizontal="center" vertical="center" shrinkToFit="1"/>
    </xf>
    <xf numFmtId="166" fontId="7" fillId="0" borderId="0" xfId="3" applyNumberFormat="1" applyFont="1" applyFill="1" applyBorder="1" applyAlignment="1">
      <alignment vertical="center"/>
    </xf>
    <xf numFmtId="164" fontId="9" fillId="0" borderId="0" xfId="4" applyFont="1">
      <alignment vertical="center"/>
      <protection locked="0"/>
    </xf>
    <xf numFmtId="166" fontId="10" fillId="0" borderId="0" xfId="3" applyNumberFormat="1" applyFont="1" applyFill="1" applyBorder="1" applyAlignment="1">
      <alignment vertical="center"/>
    </xf>
    <xf numFmtId="166" fontId="11" fillId="0" borderId="1" xfId="3" applyNumberFormat="1" applyFont="1" applyFill="1" applyBorder="1" applyAlignment="1">
      <alignment vertical="center"/>
    </xf>
    <xf numFmtId="167" fontId="11" fillId="0" borderId="1" xfId="3" applyNumberFormat="1" applyFont="1" applyFill="1" applyBorder="1" applyAlignment="1">
      <alignment vertical="center"/>
    </xf>
    <xf numFmtId="166" fontId="12" fillId="0" borderId="0" xfId="3" applyNumberFormat="1" applyFont="1" applyAlignment="1" applyProtection="1">
      <alignment vertical="center"/>
      <protection locked="0"/>
    </xf>
    <xf numFmtId="166" fontId="13" fillId="0" borderId="0" xfId="3" applyNumberFormat="1" applyFont="1" applyAlignment="1" applyProtection="1">
      <alignment vertical="center"/>
      <protection locked="0"/>
    </xf>
    <xf numFmtId="168" fontId="14" fillId="0" borderId="1" xfId="1" applyNumberFormat="1" applyFont="1" applyFill="1" applyBorder="1" applyAlignment="1">
      <alignment vertical="center"/>
    </xf>
    <xf numFmtId="166" fontId="9" fillId="0" borderId="0" xfId="3" applyNumberFormat="1" applyFont="1" applyFill="1" applyAlignment="1" applyProtection="1">
      <alignment vertical="center"/>
      <protection locked="0"/>
    </xf>
    <xf numFmtId="166" fontId="11" fillId="0" borderId="0" xfId="3" applyNumberFormat="1" applyFont="1" applyFill="1" applyBorder="1" applyAlignment="1">
      <alignment vertical="center"/>
    </xf>
  </cellXfs>
  <cellStyles count="5">
    <cellStyle name="Comma 3" xfId="3" xr:uid="{3F03004C-F1CF-4B4E-AD53-B56464A621D6}"/>
    <cellStyle name="Multiple Cell Column Heading" xfId="2" xr:uid="{529F972F-3265-9E4D-906C-FDC022C66047}"/>
    <cellStyle name="Normal" xfId="0" builtinId="0"/>
    <cellStyle name="Normal 6 23" xfId="4" xr:uid="{C9864066-BD4C-4447-BB21-C4C735F5ECB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D44F-B73E-4448-B110-6A046E14E7E4}">
  <dimension ref="A1:F26"/>
  <sheetViews>
    <sheetView showGridLines="0" tabSelected="1" workbookViewId="0">
      <selection activeCell="H20" sqref="H20"/>
    </sheetView>
  </sheetViews>
  <sheetFormatPr baseColWidth="10" defaultRowHeight="16"/>
  <cols>
    <col min="1" max="1" width="14" bestFit="1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</row>
    <row r="3" spans="1:6">
      <c r="A3" s="4" t="s">
        <v>6</v>
      </c>
      <c r="B3" s="5"/>
      <c r="C3" s="5"/>
      <c r="D3" s="5"/>
      <c r="E3" s="5"/>
      <c r="F3" s="5"/>
    </row>
    <row r="4" spans="1:6">
      <c r="A4" s="6" t="s">
        <v>7</v>
      </c>
      <c r="B4" s="7">
        <v>100</v>
      </c>
      <c r="C4" s="8">
        <f>B4*(1+C5)</f>
        <v>102</v>
      </c>
      <c r="D4" s="8">
        <f t="shared" ref="D4:F4" si="0">C4*(1+D5)</f>
        <v>104.04</v>
      </c>
      <c r="E4" s="8">
        <f t="shared" si="0"/>
        <v>106.1208</v>
      </c>
      <c r="F4" s="8">
        <f t="shared" si="0"/>
        <v>108.243216</v>
      </c>
    </row>
    <row r="5" spans="1:6">
      <c r="A5" s="9" t="s">
        <v>8</v>
      </c>
      <c r="B5" s="10"/>
      <c r="C5" s="11">
        <v>0.02</v>
      </c>
      <c r="D5" s="11">
        <v>0.02</v>
      </c>
      <c r="E5" s="11">
        <v>0.02</v>
      </c>
      <c r="F5" s="11">
        <v>0.02</v>
      </c>
    </row>
    <row r="6" spans="1:6">
      <c r="A6" s="6" t="s">
        <v>9</v>
      </c>
      <c r="B6" s="7">
        <v>10</v>
      </c>
      <c r="C6" s="8">
        <f>B6*(1+C7)</f>
        <v>10.600000000000001</v>
      </c>
      <c r="D6" s="8">
        <f t="shared" ref="D6:F6" si="1">C6*(1+D7)</f>
        <v>11.130000000000003</v>
      </c>
      <c r="E6" s="8">
        <f t="shared" si="1"/>
        <v>11.575200000000002</v>
      </c>
      <c r="F6" s="8">
        <f t="shared" si="1"/>
        <v>11.922456000000002</v>
      </c>
    </row>
    <row r="7" spans="1:6">
      <c r="A7" s="9" t="s">
        <v>8</v>
      </c>
      <c r="B7" s="10"/>
      <c r="C7" s="11">
        <v>0.06</v>
      </c>
      <c r="D7" s="11">
        <v>0.05</v>
      </c>
      <c r="E7" s="11">
        <v>0.04</v>
      </c>
      <c r="F7" s="11">
        <v>0.03</v>
      </c>
    </row>
    <row r="8" spans="1:6">
      <c r="A8" s="6" t="s">
        <v>10</v>
      </c>
      <c r="B8" s="7">
        <v>150</v>
      </c>
      <c r="C8" s="8">
        <f>B8*(1+C9)</f>
        <v>153</v>
      </c>
      <c r="D8" s="8">
        <f t="shared" ref="D8:F8" si="2">C8*(1+D9)</f>
        <v>156.06</v>
      </c>
      <c r="E8" s="8">
        <f t="shared" si="2"/>
        <v>159.18120000000002</v>
      </c>
      <c r="F8" s="8">
        <f t="shared" si="2"/>
        <v>162.36482400000003</v>
      </c>
    </row>
    <row r="9" spans="1:6">
      <c r="A9" s="9" t="s">
        <v>8</v>
      </c>
      <c r="B9" s="5"/>
      <c r="C9" s="11">
        <v>0.02</v>
      </c>
      <c r="D9" s="11">
        <v>0.02</v>
      </c>
      <c r="E9" s="11">
        <v>0.02</v>
      </c>
      <c r="F9" s="11">
        <v>0.02</v>
      </c>
    </row>
    <row r="10" spans="1:6">
      <c r="A10" s="6" t="s">
        <v>11</v>
      </c>
      <c r="B10" s="7">
        <v>5</v>
      </c>
      <c r="C10" s="8">
        <f>B10*(1+C11)</f>
        <v>5.25</v>
      </c>
      <c r="D10" s="8">
        <f t="shared" ref="D10:F10" si="3">C10*(1+D11)</f>
        <v>5.46</v>
      </c>
      <c r="E10" s="8">
        <f t="shared" si="3"/>
        <v>5.6238000000000001</v>
      </c>
      <c r="F10" s="8">
        <f t="shared" si="3"/>
        <v>5.7362760000000002</v>
      </c>
    </row>
    <row r="11" spans="1:6">
      <c r="A11" s="12"/>
      <c r="B11" s="13"/>
      <c r="C11" s="11">
        <v>0.05</v>
      </c>
      <c r="D11" s="11">
        <v>0.04</v>
      </c>
      <c r="E11" s="11">
        <v>0.03</v>
      </c>
      <c r="F11" s="11">
        <v>0.02</v>
      </c>
    </row>
    <row r="12" spans="1:6">
      <c r="A12" s="4" t="s">
        <v>12</v>
      </c>
      <c r="B12" s="5"/>
      <c r="C12" s="5"/>
      <c r="D12" s="5"/>
      <c r="E12" s="5"/>
      <c r="F12" s="5"/>
    </row>
    <row r="13" spans="1:6">
      <c r="A13" s="6" t="s">
        <v>13</v>
      </c>
      <c r="B13" s="7">
        <f>B4*(1-B14)</f>
        <v>50</v>
      </c>
      <c r="C13" s="7">
        <f t="shared" ref="C13:F13" si="4">C4*(1-C14)</f>
        <v>51</v>
      </c>
      <c r="D13" s="7">
        <f t="shared" si="4"/>
        <v>52.02</v>
      </c>
      <c r="E13" s="7">
        <f t="shared" si="4"/>
        <v>53.060400000000001</v>
      </c>
      <c r="F13" s="7">
        <f t="shared" si="4"/>
        <v>54.121608000000002</v>
      </c>
    </row>
    <row r="14" spans="1:6">
      <c r="A14" s="9" t="s">
        <v>14</v>
      </c>
      <c r="B14" s="11">
        <v>0.5</v>
      </c>
      <c r="C14" s="11">
        <v>0.5</v>
      </c>
      <c r="D14" s="11">
        <v>0.5</v>
      </c>
      <c r="E14" s="11">
        <v>0.5</v>
      </c>
      <c r="F14" s="11">
        <v>0.5</v>
      </c>
    </row>
    <row r="15" spans="1:6">
      <c r="A15" s="6" t="s">
        <v>15</v>
      </c>
      <c r="B15" s="7">
        <f>B8*(1-B16)</f>
        <v>100</v>
      </c>
      <c r="C15" s="7">
        <f t="shared" ref="C15:F15" si="5">C8*(1-C16)</f>
        <v>102</v>
      </c>
      <c r="D15" s="7">
        <f t="shared" si="5"/>
        <v>104.03999999999999</v>
      </c>
      <c r="E15" s="7">
        <f t="shared" si="5"/>
        <v>106.1208</v>
      </c>
      <c r="F15" s="7">
        <f t="shared" si="5"/>
        <v>108.24321600000002</v>
      </c>
    </row>
    <row r="16" spans="1:6">
      <c r="A16" s="9" t="s">
        <v>14</v>
      </c>
      <c r="B16" s="11">
        <v>0.33333333333333337</v>
      </c>
      <c r="C16" s="11">
        <v>0.33333333333333337</v>
      </c>
      <c r="D16" s="11">
        <v>0.33333333333333337</v>
      </c>
      <c r="E16" s="11">
        <v>0.33333333333333337</v>
      </c>
      <c r="F16" s="11">
        <v>0.33333333333333337</v>
      </c>
    </row>
    <row r="17" spans="1:6">
      <c r="A17" s="6" t="s">
        <v>16</v>
      </c>
      <c r="B17" s="11">
        <v>0.1</v>
      </c>
      <c r="C17" s="11">
        <v>0.1</v>
      </c>
      <c r="D17" s="11">
        <v>0.1</v>
      </c>
      <c r="E17" s="11">
        <v>0.1</v>
      </c>
      <c r="F17" s="11">
        <v>0.1</v>
      </c>
    </row>
    <row r="18" spans="1:6">
      <c r="A18" s="6" t="s">
        <v>17</v>
      </c>
      <c r="B18" s="11">
        <v>0.06</v>
      </c>
      <c r="C18" s="11">
        <v>0.06</v>
      </c>
      <c r="D18" s="11">
        <v>0.06</v>
      </c>
      <c r="E18" s="11">
        <v>0.06</v>
      </c>
      <c r="F18" s="11">
        <v>0.06</v>
      </c>
    </row>
    <row r="19" spans="1:6">
      <c r="A19" s="6" t="s">
        <v>18</v>
      </c>
      <c r="B19" s="11">
        <v>0.12</v>
      </c>
      <c r="C19" s="11">
        <v>0.12</v>
      </c>
      <c r="D19" s="11">
        <v>0.12</v>
      </c>
      <c r="E19" s="11">
        <v>0.12</v>
      </c>
      <c r="F19" s="11">
        <v>0.12</v>
      </c>
    </row>
    <row r="20" spans="1:6">
      <c r="A20" s="5"/>
      <c r="B20" s="5"/>
      <c r="C20" s="5"/>
      <c r="D20" s="5"/>
      <c r="E20" s="5"/>
      <c r="F20" s="5"/>
    </row>
    <row r="21" spans="1:6">
      <c r="A21" s="6" t="s">
        <v>19</v>
      </c>
      <c r="B21" s="7">
        <v>100</v>
      </c>
      <c r="C21" s="7">
        <v>100</v>
      </c>
      <c r="D21" s="7">
        <v>100</v>
      </c>
      <c r="E21" s="7">
        <v>100</v>
      </c>
      <c r="F21" s="7">
        <v>100</v>
      </c>
    </row>
    <row r="22" spans="1:6">
      <c r="A22" s="6" t="s">
        <v>20</v>
      </c>
      <c r="B22" s="7">
        <v>100</v>
      </c>
      <c r="C22" s="7">
        <v>100</v>
      </c>
      <c r="D22" s="7">
        <v>100</v>
      </c>
      <c r="E22" s="7">
        <v>100</v>
      </c>
      <c r="F22" s="7">
        <v>100</v>
      </c>
    </row>
    <row r="23" spans="1:6">
      <c r="A23" s="6"/>
      <c r="B23" s="5"/>
      <c r="C23" s="5"/>
      <c r="D23" s="5"/>
      <c r="E23" s="5"/>
      <c r="F23" s="5"/>
    </row>
    <row r="24" spans="1:6">
      <c r="A24" s="6" t="s">
        <v>21</v>
      </c>
      <c r="B24" s="11">
        <v>0.15</v>
      </c>
      <c r="C24" s="5"/>
      <c r="D24" s="5"/>
      <c r="E24" s="5"/>
      <c r="F24" s="5"/>
    </row>
    <row r="25" spans="1:6">
      <c r="A25" s="6" t="s">
        <v>22</v>
      </c>
      <c r="B25" s="11"/>
      <c r="C25" s="5"/>
      <c r="D25" s="5"/>
      <c r="E25" s="5"/>
      <c r="F25" s="5"/>
    </row>
    <row r="26" spans="1:6">
      <c r="A26" s="6" t="s">
        <v>23</v>
      </c>
      <c r="B26" s="11"/>
      <c r="C26" s="5"/>
      <c r="D26" s="5"/>
      <c r="E26" s="5"/>
      <c r="F26" s="5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Zhang</dc:creator>
  <cp:lastModifiedBy>Gary Zhang</cp:lastModifiedBy>
  <dcterms:created xsi:type="dcterms:W3CDTF">2025-11-06T04:33:52Z</dcterms:created>
  <dcterms:modified xsi:type="dcterms:W3CDTF">2025-11-06T04:34:39Z</dcterms:modified>
</cp:coreProperties>
</file>